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リサー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%"/>
  </numFmts>
  <fonts count="9">
    <font>
      <name val="Calibri"/>
      <family val="2"/>
      <color theme="1"/>
      <sz val="11"/>
      <scheme val="minor"/>
    </font>
    <font>
      <name val="BIZ UDGothic"/>
      <b val="1"/>
      <color rgb="00FFFFFF"/>
      <sz val="13"/>
    </font>
    <font>
      <name val="BIZ UDGothic"/>
      <b val="1"/>
      <color rgb="00000000"/>
      <sz val="11"/>
    </font>
    <font>
      <name val="BIZ UDGothic"/>
      <color rgb="00444444"/>
      <sz val="10"/>
    </font>
    <font>
      <name val="BIZ UDGothic"/>
      <color rgb="00888888"/>
      <sz val="9"/>
    </font>
    <font>
      <name val="BIZ UDGothic"/>
      <color rgb="00555555"/>
      <sz val="10"/>
    </font>
    <font>
      <name val="BIZ UDGothic"/>
      <b val="1"/>
      <color rgb="00FFFFFF"/>
      <sz val="11"/>
    </font>
    <font>
      <name val="BIZ UDGothic"/>
      <color rgb="00000000"/>
      <sz val="11"/>
    </font>
    <font>
      <name val="BIZ UDGothic"/>
      <color rgb="00AAAAAA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FFBF5"/>
      </patternFill>
    </fill>
    <fill>
      <patternFill patternType="solid">
        <fgColor rgb="00FAFAFA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3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1" customWidth="1" min="3" max="3"/>
    <col width="42" customWidth="1" min="4" max="4"/>
    <col width="12" customWidth="1" min="5" max="5"/>
    <col width="9" customWidth="1" min="6" max="6"/>
    <col width="16" customWidth="1" min="7" max="7"/>
    <col width="18" customWidth="1" min="8" max="8"/>
    <col width="18" customWidth="1" min="9" max="9"/>
    <col width="18" customWidth="1" min="10" max="10"/>
    <col width="38" customWidth="1" min="11" max="11"/>
    <col width="2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0" customWidth="1" min="21" max="21"/>
    <col width="38" customWidth="1" min="22" max="22"/>
    <col width="22" customWidth="1" min="23" max="23"/>
  </cols>
  <sheetData>
    <row r="1" ht="26" customHeight="1">
      <c r="A1" s="1" t="inlineStr">
        <is>
          <t>Aucfan + Amazon 統合リサーチシート</t>
        </is>
      </c>
    </row>
    <row r="2" ht="22" customHeight="1">
      <c r="A2" s="2" t="inlineStr">
        <is>
          <t>調査商品数</t>
        </is>
      </c>
      <c r="B2" s="3">
        <f>COUNTA(D6:D6)</f>
        <v/>
      </c>
      <c r="C2" s="2" t="inlineStr">
        <is>
          <t>4件以上の商品</t>
        </is>
      </c>
      <c r="D2" s="3">
        <f>COUNTIF(E6:E6,"&gt;=4")</f>
        <v/>
      </c>
      <c r="E2" s="2" t="inlineStr">
        <is>
          <t>セッション</t>
        </is>
      </c>
      <c r="F2" s="4" t="inlineStr"/>
      <c r="M2" s="5" t="inlineStr">
        <is>
          <t>為替レート（円/元）</t>
        </is>
      </c>
      <c r="N2" s="6" t="n">
        <v>22</v>
      </c>
      <c r="P2" s="7" t="inlineStr">
        <is>
          <t>← 為替レートをN2に入力してください</t>
        </is>
      </c>
    </row>
    <row r="3" ht="18" customHeight="1">
      <c r="A3" s="8" t="inlineStr">
        <is>
          <t xml:space="preserve">  ■ 黄色 = 手入力セル（AucFan）　■ 橙色 = 手入力セル（Amazon）　■ 緑色 = 自動計算セル</t>
        </is>
      </c>
    </row>
    <row r="4" ht="4" customHeight="1"/>
    <row r="5" ht="40" customHeight="1">
      <c r="A5" s="9" t="inlineStr">
        <is>
          <t>No</t>
        </is>
      </c>
      <c r="B5" s="9" t="inlineStr">
        <is>
          <t>画像</t>
        </is>
      </c>
      <c r="C5" s="9" t="inlineStr">
        <is>
          <t>日付</t>
        </is>
      </c>
      <c r="D5" s="9" t="inlineStr">
        <is>
          <t>代表キーワード</t>
        </is>
      </c>
      <c r="E5" s="9" t="inlineStr">
        <is>
          <t>件数
（直近30日）</t>
        </is>
      </c>
      <c r="F5" s="9" t="inlineStr">
        <is>
          <t>4件
以上</t>
        </is>
      </c>
      <c r="G5" s="9" t="inlineStr">
        <is>
          <t>最安値
（価格＋送料）</t>
        </is>
      </c>
      <c r="H5" s="9" t="inlineStr">
        <is>
          <t>セラーID①</t>
        </is>
      </c>
      <c r="I5" s="9" t="inlineStr">
        <is>
          <t>セラーID②</t>
        </is>
      </c>
      <c r="J5" s="9" t="inlineStr">
        <is>
          <t>セラーID③</t>
        </is>
      </c>
      <c r="K5" s="9" t="inlineStr">
        <is>
          <t>検索URL
（Aucfan）</t>
        </is>
      </c>
      <c r="L5" s="9" t="inlineStr">
        <is>
          <t>備考</t>
        </is>
      </c>
      <c r="M5" s="10" t="inlineStr">
        <is>
          <t>ライバル
件数</t>
        </is>
      </c>
      <c r="N5" s="10" t="inlineStr">
        <is>
          <t>Amazon
最安値</t>
        </is>
      </c>
      <c r="O5" s="10" t="inlineStr">
        <is>
          <t>Amazon
最高値</t>
        </is>
      </c>
      <c r="P5" s="10" t="inlineStr">
        <is>
          <t>1688
仕入値（元）</t>
        </is>
      </c>
      <c r="Q5" s="10" t="inlineStr">
        <is>
          <t>仕入値（円）
自動計算</t>
        </is>
      </c>
      <c r="R5" s="10" t="inlineStr">
        <is>
          <t>Amazon
販売予定価格</t>
        </is>
      </c>
      <c r="S5" s="10" t="inlineStr">
        <is>
          <t>FBA
手数料</t>
        </is>
      </c>
      <c r="T5" s="10" t="inlineStr">
        <is>
          <t>利益
自動計算</t>
        </is>
      </c>
      <c r="U5" s="10" t="inlineStr">
        <is>
          <t>利益率
自動計算</t>
        </is>
      </c>
      <c r="V5" s="10" t="inlineStr">
        <is>
          <t>Amazon
検索URL</t>
        </is>
      </c>
      <c r="W5" s="10" t="inlineStr">
        <is>
          <t>Amazonメモ</t>
        </is>
      </c>
    </row>
    <row r="6" ht="72" customHeight="1">
      <c r="A6" s="11" t="n"/>
      <c r="B6" s="12" t="inlineStr">
        <is>
          <t>画像
ここに貼付</t>
        </is>
      </c>
      <c r="C6" s="13" t="n"/>
      <c r="D6" s="14" t="n"/>
      <c r="E6" s="15" t="n"/>
      <c r="F6" s="3">
        <f>IF(E6="","",IF(E6&gt;=4,"✓","✗"))</f>
        <v/>
      </c>
      <c r="G6" s="16" t="n"/>
      <c r="H6" s="17" t="n"/>
      <c r="I6" s="17" t="n"/>
      <c r="J6" s="17" t="n"/>
      <c r="K6" s="17" t="n"/>
      <c r="L6" s="14" t="n"/>
      <c r="M6" s="18" t="n"/>
      <c r="N6" s="19" t="n"/>
      <c r="O6" s="19" t="n"/>
      <c r="P6" s="20" t="n"/>
      <c r="Q6" s="16">
        <f>IF(P6="","",ROUND(P6*$N$2,0))</f>
        <v/>
      </c>
      <c r="R6" s="19" t="n"/>
      <c r="S6" s="19" t="n"/>
      <c r="T6" s="21">
        <f>IF(OR(R6="",Q6=""),"",R6-Q6-IF(S6="",0,S6))</f>
        <v/>
      </c>
      <c r="U6" s="22">
        <f>IF(OR(T6="",R6=0),"",T6/R6)</f>
        <v/>
      </c>
      <c r="V6" s="23" t="n"/>
      <c r="W6" s="24" t="n"/>
    </row>
  </sheetData>
  <mergeCells count="5">
    <mergeCell ref="A1:W1"/>
    <mergeCell ref="N2:O2"/>
    <mergeCell ref="A3:W3"/>
    <mergeCell ref="F2:L2"/>
    <mergeCell ref="P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2026-05-24T03:04:22Z</dcterms:created>
  <dcterms:modified xmlns:dcterms="http://purl.org/dc/terms/" xmlns:xsi="http://www.w3.org/2001/XMLSchema-instance" xsi:type="dcterms:W3CDTF">2026-05-24T03:04:22Z</dcterms:modified>
</cp:coreProperties>
</file>